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1C9B516D-C97C-461E-A7F3-948B25B7B00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  <c r="D2" i="1"/>
  <c r="E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  <c r="D3" i="1" l="1"/>
  <c r="E3" i="1" l="1"/>
  <c r="D4" i="1"/>
  <c r="E4" i="1" l="1"/>
  <c r="D5" i="1"/>
  <c r="E5" i="1" l="1"/>
  <c r="D6" i="1"/>
  <c r="E6" i="1" l="1"/>
  <c r="D7" i="1"/>
  <c r="E7" i="1" l="1"/>
  <c r="D8" i="1"/>
  <c r="E8" i="1" l="1"/>
  <c r="D9" i="1"/>
  <c r="E9" i="1" l="1"/>
  <c r="D10" i="1"/>
  <c r="E10" i="1" l="1"/>
  <c r="D11" i="1"/>
  <c r="E11" i="1" l="1"/>
  <c r="D12" i="1"/>
  <c r="E12" i="1" l="1"/>
  <c r="D13" i="1"/>
  <c r="E13" i="1" l="1"/>
  <c r="D14" i="1"/>
  <c r="E14" i="1" l="1"/>
  <c r="D15" i="1"/>
  <c r="E15" i="1" l="1"/>
  <c r="D16" i="1"/>
  <c r="E16" i="1" l="1"/>
  <c r="D17" i="1"/>
  <c r="E17" i="1" l="1"/>
  <c r="D18" i="1"/>
  <c r="E18" i="1" l="1"/>
  <c r="D19" i="1"/>
  <c r="E19" i="1" l="1"/>
  <c r="D20" i="1"/>
  <c r="E20" i="1" l="1"/>
  <c r="D21" i="1"/>
  <c r="E21" i="1" l="1"/>
  <c r="D22" i="1"/>
  <c r="E22" i="1" l="1"/>
  <c r="D23" i="1"/>
  <c r="E23" i="1" l="1"/>
  <c r="D24" i="1"/>
  <c r="E24" i="1" l="1"/>
  <c r="D25" i="1"/>
  <c r="E25" i="1" l="1"/>
  <c r="D26" i="1"/>
  <c r="E26" i="1" l="1"/>
  <c r="D27" i="1"/>
  <c r="E27" i="1" l="1"/>
  <c r="D28" i="1"/>
  <c r="E28" i="1" l="1"/>
  <c r="D29" i="1"/>
  <c r="E29" i="1" l="1"/>
  <c r="D30" i="1"/>
  <c r="E30" i="1" l="1"/>
  <c r="D31" i="1"/>
  <c r="E31" i="1" s="1"/>
  <c r="J6" i="1" l="1"/>
</calcChain>
</file>

<file path=xl/sharedStrings.xml><?xml version="1.0" encoding="utf-8"?>
<sst xmlns="http://schemas.openxmlformats.org/spreadsheetml/2006/main" count="17" uniqueCount="15">
  <si>
    <t>Age</t>
  </si>
  <si>
    <t>qx</t>
  </si>
  <si>
    <t>px</t>
  </si>
  <si>
    <t>Survival Probability</t>
  </si>
  <si>
    <t>Probability of Death  in Year</t>
  </si>
  <si>
    <t>Discount Factor</t>
  </si>
  <si>
    <t>EPV of Death Benefit</t>
  </si>
  <si>
    <t>Item</t>
  </si>
  <si>
    <t>Value</t>
  </si>
  <si>
    <t>Interest Rate</t>
  </si>
  <si>
    <t>Net Single Premium</t>
  </si>
  <si>
    <t>Entry Age</t>
  </si>
  <si>
    <t>Policy Term</t>
  </si>
  <si>
    <t>30 Years</t>
  </si>
  <si>
    <t>Death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</si>
</sst>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9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Mortality Rate by Age</a:t>
            </a:r>
          </a:p>
        </c:rich>
      </c:tx>
      <c:layout>
        <c:manualLayout>
          <c:xMode val="edge"/>
          <c:yMode val="edge"/>
          <c:x val="0.37168040380870054"/>
          <c:y val="3.0324081138328275E-2"/>
        </c:manualLayout>
      </c:layout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Sheet1!A2:A31</c:f>
              <c:numCache>
                <c:formatCode>General</c:formatCode>
                <c:ptCount val="30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</c:numCache>
            </c:numRef>
          </c:cat>
          <c:val>
            <c:numRef>
              <c:f>Sheet1!$B$2:$B$31</c:f>
              <c:numCache>
                <c:formatCode>General</c:formatCode>
                <c:ptCount val="30"/>
                <c:pt idx="0">
                  <c:v>1E-3</c:v>
                </c:pt>
                <c:pt idx="1">
                  <c:v>1.1000000000000001E-3</c:v>
                </c:pt>
                <c:pt idx="2">
                  <c:v>1.1999999999999999E-3</c:v>
                </c:pt>
                <c:pt idx="3">
                  <c:v>1.2999999999999999E-3</c:v>
                </c:pt>
                <c:pt idx="4">
                  <c:v>1.5E-3</c:v>
                </c:pt>
                <c:pt idx="5">
                  <c:v>1.6000000000000001E-3</c:v>
                </c:pt>
                <c:pt idx="6">
                  <c:v>1.8E-3</c:v>
                </c:pt>
                <c:pt idx="7">
                  <c:v>2E-3</c:v>
                </c:pt>
                <c:pt idx="8">
                  <c:v>2.2000000000000001E-3</c:v>
                </c:pt>
                <c:pt idx="9">
                  <c:v>2.3999999999999998E-3</c:v>
                </c:pt>
                <c:pt idx="10">
                  <c:v>2.7000000000000001E-3</c:v>
                </c:pt>
                <c:pt idx="11">
                  <c:v>3.0000000000000001E-3</c:v>
                </c:pt>
                <c:pt idx="12">
                  <c:v>3.3E-3</c:v>
                </c:pt>
                <c:pt idx="13">
                  <c:v>3.7000000000000002E-3</c:v>
                </c:pt>
                <c:pt idx="14">
                  <c:v>4.1000000000000003E-3</c:v>
                </c:pt>
                <c:pt idx="15">
                  <c:v>4.5999999999999999E-3</c:v>
                </c:pt>
                <c:pt idx="16">
                  <c:v>5.1000000000000004E-3</c:v>
                </c:pt>
                <c:pt idx="17">
                  <c:v>5.7000000000000002E-3</c:v>
                </c:pt>
                <c:pt idx="18">
                  <c:v>6.3E-3</c:v>
                </c:pt>
                <c:pt idx="19">
                  <c:v>7.0000000000000001E-3</c:v>
                </c:pt>
                <c:pt idx="20">
                  <c:v>7.7999999999999996E-3</c:v>
                </c:pt>
                <c:pt idx="21">
                  <c:v>8.6999999999999994E-3</c:v>
                </c:pt>
                <c:pt idx="22">
                  <c:v>9.7000000000000003E-3</c:v>
                </c:pt>
                <c:pt idx="23">
                  <c:v>1.0800000000000001E-2</c:v>
                </c:pt>
                <c:pt idx="24">
                  <c:v>1.2E-2</c:v>
                </c:pt>
                <c:pt idx="25">
                  <c:v>1.3299999999999999E-2</c:v>
                </c:pt>
                <c:pt idx="26">
                  <c:v>1.4800000000000001E-2</c:v>
                </c:pt>
                <c:pt idx="27">
                  <c:v>1.6400000000000001E-2</c:v>
                </c:pt>
                <c:pt idx="28">
                  <c:v>1.8200000000000001E-2</c:v>
                </c:pt>
                <c:pt idx="29">
                  <c:v>2.0199999999999999E-2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17-4BF7-B74E-F91B4F47C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49800"/>
        <c:axId val="30051848"/>
      </c:lineChart>
      <c:catAx>
        <c:axId val="30049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51848"/>
        <c:crosses val="autoZero"/>
        <c:auto val="1"/>
        <c:lblAlgn val="ctr"/>
        <c:lblOffset val="100"/>
        <c:noMultiLvlLbl val="0"/>
      </c:catAx>
      <c:valAx>
        <c:axId val="30051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49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Probability of Death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Sheet1!A2:A31</c:f>
              <c:numCache>
                <c:formatCode>General</c:formatCode>
                <c:ptCount val="30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</c:numCache>
            </c:numRef>
          </c:cat>
          <c:val>
            <c:numRef>
              <c:f>Sheet1!$E$2:$E$31</c:f>
              <c:numCache>
                <c:formatCode>General</c:formatCode>
                <c:ptCount val="30"/>
                <c:pt idx="0">
                  <c:v>1E-3</c:v>
                </c:pt>
                <c:pt idx="1">
                  <c:v>1.0989000000000001E-3</c:v>
                </c:pt>
                <c:pt idx="2">
                  <c:v>1.1974813199999998E-3</c:v>
                </c:pt>
                <c:pt idx="3">
                  <c:v>1.2957147042839999E-3</c:v>
                </c:pt>
                <c:pt idx="4">
                  <c:v>1.493111855963574E-3</c:v>
                </c:pt>
                <c:pt idx="5">
                  <c:v>1.590263667391604E-3</c:v>
                </c:pt>
                <c:pt idx="6">
                  <c:v>1.7861841512142494E-3</c:v>
                </c:pt>
                <c:pt idx="7">
                  <c:v>1.9810766886022933E-3</c:v>
                </c:pt>
                <c:pt idx="8">
                  <c:v>2.1748259887475977E-3</c:v>
                </c:pt>
                <c:pt idx="9">
                  <c:v>2.3673178598971117E-3</c:v>
                </c:pt>
                <c:pt idx="10">
                  <c:v>2.6568408341625287E-3</c:v>
                </c:pt>
                <c:pt idx="11">
                  <c:v>2.9440748487892113E-3</c:v>
                </c:pt>
                <c:pt idx="12">
                  <c:v>3.2287668866671278E-3</c:v>
                </c:pt>
                <c:pt idx="13">
                  <c:v>3.6081861324188391E-3</c:v>
                </c:pt>
                <c:pt idx="14">
                  <c:v>3.9834667457536339E-3</c:v>
                </c:pt>
                <c:pt idx="15">
                  <c:v>4.450931426254098E-3</c:v>
                </c:pt>
                <c:pt idx="16">
                  <c:v>4.9120285701382558E-3</c:v>
                </c:pt>
                <c:pt idx="17">
                  <c:v>5.4619157214223796E-3</c:v>
                </c:pt>
                <c:pt idx="18">
                  <c:v>6.0024441493692479E-3</c:v>
                </c:pt>
                <c:pt idx="19">
                  <c:v>6.6273652791424692E-3</c:v>
                </c:pt>
                <c:pt idx="20">
                  <c:v>7.3330850047242969E-3</c:v>
                </c:pt>
                <c:pt idx="21">
                  <c:v>8.1154123580359991E-3</c:v>
                </c:pt>
                <c:pt idx="22">
                  <c:v>8.9694988763281067E-3</c:v>
                </c:pt>
                <c:pt idx="23">
                  <c:v>9.8897879548514867E-3</c:v>
                </c:pt>
                <c:pt idx="24">
                  <c:v>1.0869975827710101E-2</c:v>
                </c:pt>
                <c:pt idx="25">
                  <c:v>1.1902985863870149E-2</c:v>
                </c:pt>
                <c:pt idx="26">
                  <c:v>1.3069263687807069E-2</c:v>
                </c:pt>
                <c:pt idx="27">
                  <c:v>1.426782113498185E-2</c:v>
                </c:pt>
                <c:pt idx="28">
                  <c:v>1.5574127158798799E-2</c:v>
                </c:pt>
                <c:pt idx="29">
                  <c:v>1.6970972335114007E-2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3-9160-4391-B511-19CA1E049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621128"/>
        <c:axId val="55623176"/>
      </c:barChart>
      <c:catAx>
        <c:axId val="55621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3176"/>
        <c:crosses val="autoZero"/>
        <c:auto val="1"/>
        <c:lblAlgn val="ctr"/>
        <c:lblOffset val="100"/>
        <c:noMultiLvlLbl val="0"/>
      </c:catAx>
      <c:valAx>
        <c:axId val="55623176"/>
        <c:scaling>
          <c:orientation val="minMax"/>
          <c:max val="0.0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1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EPV Contribution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xVal>
            <c:numRef>
              <c:f>Sheet1!A2:A31</c:f>
              <c:numCache>
                <c:formatCode>General</c:formatCode>
                <c:ptCount val="30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</c:numCache>
            </c:numRef>
          </c:xVal>
          <c:yVal>
            <c:numRef>
              <c:f>Sheet1!$G$2:$G$31</c:f>
              <c:numCache>
                <c:formatCode>General</c:formatCode>
                <c:ptCount val="30"/>
                <c:pt idx="0">
                  <c:v>970.87378640776706</c:v>
                </c:pt>
                <c:pt idx="1">
                  <c:v>1035.8186445470828</c:v>
                </c:pt>
                <c:pt idx="2">
                  <c:v>1095.8650422292119</c:v>
                </c:pt>
                <c:pt idx="3">
                  <c:v>1151.225732550241</c:v>
                </c:pt>
                <c:pt idx="4">
                  <c:v>1287.9714030223215</c:v>
                </c:pt>
                <c:pt idx="5">
                  <c:v>1331.8207854164796</c:v>
                </c:pt>
                <c:pt idx="6">
                  <c:v>1452.3311710483397</c:v>
                </c:pt>
                <c:pt idx="7">
                  <c:v>1563.8802318667233</c:v>
                </c:pt>
                <c:pt idx="8">
                  <c:v>1666.8230277119312</c:v>
                </c:pt>
                <c:pt idx="9">
                  <c:v>1761.5068141757788</c:v>
                </c:pt>
                <c:pt idx="10">
                  <c:v>1919.3583471354141</c:v>
                </c:pt>
                <c:pt idx="11">
                  <c:v>2064.9148647229222</c:v>
                </c:pt>
                <c:pt idx="12">
                  <c:v>2198.6331380015813</c:v>
                </c:pt>
                <c:pt idx="13">
                  <c:v>2385.4360988499125</c:v>
                </c:pt>
                <c:pt idx="14">
                  <c:v>2556.8357228194932</c:v>
                </c:pt>
                <c:pt idx="15">
                  <c:v>2773.6733135773834</c:v>
                </c:pt>
                <c:pt idx="16">
                  <c:v>2971.8580673930196</c:v>
                </c:pt>
                <c:pt idx="17">
                  <c:v>3208.2998420181029</c:v>
                </c:pt>
                <c:pt idx="18">
                  <c:v>3423.1100251042717</c:v>
                </c:pt>
                <c:pt idx="19">
                  <c:v>3669.4114691975356</c:v>
                </c:pt>
                <c:pt idx="20">
                  <c:v>3941.8945344691524</c:v>
                </c:pt>
                <c:pt idx="21">
                  <c:v>4235.3728512288462</c:v>
                </c:pt>
                <c:pt idx="22">
                  <c:v>4544.7710681848685</c:v>
                </c:pt>
                <c:pt idx="23">
                  <c:v>4865.120340235565</c:v>
                </c:pt>
                <c:pt idx="24">
                  <c:v>5191.5609930539595</c:v>
                </c:pt>
                <c:pt idx="25">
                  <c:v>5519.351785851637</c:v>
                </c:pt>
                <c:pt idx="26">
                  <c:v>5883.639479164699</c:v>
                </c:pt>
                <c:pt idx="27">
                  <c:v>6236.1329364942403</c:v>
                </c:pt>
                <c:pt idx="28">
                  <c:v>6608.824205855457</c:v>
                </c:pt>
                <c:pt idx="29">
                  <c:v>6991.8158981777178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E0-4C09-8AC7-968F1EA52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711879"/>
        <c:axId val="397713927"/>
      </c:scatterChart>
      <c:valAx>
        <c:axId val="397711879"/>
        <c:scaling>
          <c:orientation val="minMax"/>
          <c:max val="65"/>
          <c:min val="25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13927"/>
        <c:crosses val="autoZero"/>
        <c:crossBetween val="midCat"/>
      </c:valAx>
      <c:valAx>
        <c:axId val="397713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11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Premium Sensitivity to Interest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Sheet1!$M$1</c:f>
              <c:strCache>
                <c:ptCount val="1"/>
                <c:pt idx="0">
                  <c:v>Net Single Premium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Sheet1!$L$2:$L$5</c:f>
              <c:numCache>
                <c:formatCode>0%</c:formatCode>
                <c:ptCount val="4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</c:numCache>
            </c:numRef>
          </c:cat>
          <c:val>
            <c:numRef>
              <c:f>Sheet1!$M$2:$M$5</c:f>
              <c:numCache>
                <c:formatCode>General</c:formatCode>
                <c:ptCount val="4"/>
                <c:pt idx="0">
                  <c:v>94508</c:v>
                </c:pt>
                <c:pt idx="1">
                  <c:v>64641</c:v>
                </c:pt>
                <c:pt idx="2">
                  <c:v>45605</c:v>
                </c:pt>
                <c:pt idx="3">
                  <c:v>33187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4C-40C2-8C12-9F2FEDB96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0598024"/>
        <c:axId val="680591880"/>
      </c:lineChart>
      <c:catAx>
        <c:axId val="68059802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91880"/>
        <c:crosses val="autoZero"/>
        <c:auto val="1"/>
        <c:lblAlgn val="ctr"/>
        <c:lblOffset val="100"/>
        <c:noMultiLvlLbl val="0"/>
      </c:catAx>
      <c:valAx>
        <c:axId val="68059188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98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7</xdr:row>
      <xdr:rowOff>9525</xdr:rowOff>
    </xdr:from>
    <xdr:to>
      <xdr:col>12</xdr:col>
      <xdr:colOff>733425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D0DCFC-EC2F-A163-9385-340BDDC5D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847725</xdr:colOff>
      <xdr:row>7</xdr:row>
      <xdr:rowOff>9525</xdr:rowOff>
    </xdr:from>
    <xdr:to>
      <xdr:col>19</xdr:col>
      <xdr:colOff>152400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6FA4E8-FBE8-FEB1-B718-DBDE04DA0710}"/>
            </a:ext>
            <a:ext uri="{147F2762-F138-4A5C-976F-8EAC2B608ADB}">
              <a16:predDERef xmlns:a16="http://schemas.microsoft.com/office/drawing/2014/main" pred="{E7D0DCFC-EC2F-A163-9385-340BDDC5D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20</xdr:row>
      <xdr:rowOff>114300</xdr:rowOff>
    </xdr:from>
    <xdr:to>
      <xdr:col>12</xdr:col>
      <xdr:colOff>752475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690C4F-1201-D5F5-5EE8-BEB2EC2A4B1E}"/>
            </a:ext>
            <a:ext uri="{147F2762-F138-4A5C-976F-8EAC2B608ADB}">
              <a16:predDERef xmlns:a16="http://schemas.microsoft.com/office/drawing/2014/main" pred="{1C6FA4E8-FBE8-FEB1-B718-DBDE04DA0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866775</xdr:colOff>
      <xdr:row>20</xdr:row>
      <xdr:rowOff>114300</xdr:rowOff>
    </xdr:from>
    <xdr:to>
      <xdr:col>19</xdr:col>
      <xdr:colOff>152400</xdr:colOff>
      <xdr:row>35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75A513-D85A-1B06-7596-B52073B5D1B6}"/>
            </a:ext>
            <a:ext uri="{147F2762-F138-4A5C-976F-8EAC2B608ADB}">
              <a16:predDERef xmlns:a16="http://schemas.microsoft.com/office/drawing/2014/main" pred="{1F690C4F-1201-D5F5-5EE8-BEB2EC2A4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topLeftCell="E11" workbookViewId="0">
      <selection activeCell="T38" sqref="T38"/>
    </sheetView>
  </sheetViews>
  <sheetFormatPr defaultRowHeight="15"/>
  <cols>
    <col min="4" max="4" width="17.5703125" bestFit="1" customWidth="1"/>
    <col min="5" max="5" width="25.28515625" bestFit="1" customWidth="1"/>
    <col min="6" max="6" width="14.5703125" bestFit="1" customWidth="1"/>
    <col min="7" max="7" width="19" bestFit="1" customWidth="1"/>
    <col min="9" max="9" width="18.42578125" customWidth="1"/>
    <col min="10" max="10" width="9.5703125" customWidth="1"/>
    <col min="11" max="11" width="11.7109375" customWidth="1"/>
    <col min="12" max="12" width="12.140625" bestFit="1" customWidth="1"/>
    <col min="13" max="13" width="18.140625" bestFit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2" t="s">
        <v>7</v>
      </c>
      <c r="J1" s="2" t="s">
        <v>8</v>
      </c>
      <c r="L1" s="2" t="s">
        <v>9</v>
      </c>
      <c r="M1" s="2" t="s">
        <v>10</v>
      </c>
    </row>
    <row r="2" spans="1:16">
      <c r="A2" s="1">
        <v>30</v>
      </c>
      <c r="B2" s="1">
        <v>1E-3</v>
      </c>
      <c r="C2" s="1">
        <f>1-B2</f>
        <v>0.999</v>
      </c>
      <c r="D2" s="1">
        <f>1</f>
        <v>1</v>
      </c>
      <c r="E2" s="1">
        <f>D2*B2</f>
        <v>1E-3</v>
      </c>
      <c r="F2" s="1">
        <f>(1/(1+$J$4))^1</f>
        <v>0.970873786407767</v>
      </c>
      <c r="G2" s="1">
        <f>E2*$J$5*F2</f>
        <v>970.87378640776706</v>
      </c>
      <c r="I2" s="1" t="s">
        <v>11</v>
      </c>
      <c r="J2" s="1">
        <v>30</v>
      </c>
      <c r="L2" s="3">
        <v>0.03</v>
      </c>
      <c r="M2" s="1">
        <v>94508</v>
      </c>
    </row>
    <row r="3" spans="1:16">
      <c r="A3" s="1">
        <v>31</v>
      </c>
      <c r="B3" s="1">
        <v>1.1000000000000001E-3</v>
      </c>
      <c r="C3" s="1">
        <f t="shared" ref="C3:C31" si="0">1-B3</f>
        <v>0.99890000000000001</v>
      </c>
      <c r="D3" s="1">
        <f>D2*C2</f>
        <v>0.999</v>
      </c>
      <c r="E3" s="1">
        <f t="shared" ref="E3:E31" si="1">D3*B3</f>
        <v>1.0989000000000001E-3</v>
      </c>
      <c r="F3" s="1">
        <f>(1/(1+$J$4))^2</f>
        <v>0.94259590913375435</v>
      </c>
      <c r="G3" s="1">
        <f t="shared" ref="G3:G31" si="2">E3*$J$5*F3</f>
        <v>1035.8186445470828</v>
      </c>
      <c r="I3" s="1" t="s">
        <v>12</v>
      </c>
      <c r="J3" s="1" t="s">
        <v>13</v>
      </c>
      <c r="L3" s="3">
        <v>0.05</v>
      </c>
      <c r="M3" s="1">
        <v>64641</v>
      </c>
    </row>
    <row r="4" spans="1:16">
      <c r="A4" s="1">
        <v>32</v>
      </c>
      <c r="B4" s="1">
        <v>1.1999999999999999E-3</v>
      </c>
      <c r="C4" s="1">
        <f t="shared" si="0"/>
        <v>0.99880000000000002</v>
      </c>
      <c r="D4" s="1">
        <f t="shared" ref="D4:D31" si="3">D3*C3</f>
        <v>0.99790109999999999</v>
      </c>
      <c r="E4" s="1">
        <f t="shared" si="1"/>
        <v>1.1974813199999998E-3</v>
      </c>
      <c r="F4" s="1">
        <f>(1/(1+$J$4))^3</f>
        <v>0.91514165935315961</v>
      </c>
      <c r="G4" s="1">
        <f t="shared" si="2"/>
        <v>1095.8650422292119</v>
      </c>
      <c r="I4" s="1" t="s">
        <v>9</v>
      </c>
      <c r="J4" s="3">
        <v>0.03</v>
      </c>
      <c r="L4" s="3">
        <v>7.0000000000000007E-2</v>
      </c>
      <c r="M4" s="1">
        <v>45605</v>
      </c>
    </row>
    <row r="5" spans="1:16">
      <c r="A5" s="1">
        <v>33</v>
      </c>
      <c r="B5" s="1">
        <v>1.2999999999999999E-3</v>
      </c>
      <c r="C5" s="1">
        <f t="shared" si="0"/>
        <v>0.99870000000000003</v>
      </c>
      <c r="D5" s="1">
        <f t="shared" si="3"/>
        <v>0.99670361868000001</v>
      </c>
      <c r="E5" s="1">
        <f t="shared" si="1"/>
        <v>1.2957147042839999E-3</v>
      </c>
      <c r="F5" s="1">
        <f>(1/(1+$J$4))^4</f>
        <v>0.88848704791568889</v>
      </c>
      <c r="G5" s="1">
        <f t="shared" si="2"/>
        <v>1151.225732550241</v>
      </c>
      <c r="I5" s="1" t="s">
        <v>14</v>
      </c>
      <c r="J5" s="1">
        <v>1000000</v>
      </c>
      <c r="L5" s="3">
        <v>0.09</v>
      </c>
      <c r="M5" s="1">
        <v>33187</v>
      </c>
      <c r="P5" s="4"/>
    </row>
    <row r="6" spans="1:16">
      <c r="A6" s="1">
        <v>34</v>
      </c>
      <c r="B6" s="1">
        <v>1.5E-3</v>
      </c>
      <c r="C6" s="1">
        <f t="shared" si="0"/>
        <v>0.99850000000000005</v>
      </c>
      <c r="D6" s="1">
        <f t="shared" si="3"/>
        <v>0.99540790397571599</v>
      </c>
      <c r="E6" s="1">
        <f t="shared" si="1"/>
        <v>1.493111855963574E-3</v>
      </c>
      <c r="F6" s="1">
        <f>(1/(1+$J$4))^5</f>
        <v>0.862608784384164</v>
      </c>
      <c r="G6" s="1">
        <f t="shared" si="2"/>
        <v>1287.9714030223215</v>
      </c>
      <c r="I6" s="1" t="s">
        <v>10</v>
      </c>
      <c r="J6" s="1">
        <f>SUM(G2:G31)</f>
        <v>94508.131620511675</v>
      </c>
    </row>
    <row r="7" spans="1:16">
      <c r="A7" s="1">
        <v>35</v>
      </c>
      <c r="B7" s="1">
        <v>1.6000000000000001E-3</v>
      </c>
      <c r="C7" s="1">
        <f t="shared" si="0"/>
        <v>0.99839999999999995</v>
      </c>
      <c r="D7" s="1">
        <f t="shared" si="3"/>
        <v>0.99391479211975242</v>
      </c>
      <c r="E7" s="1">
        <f t="shared" si="1"/>
        <v>1.590263667391604E-3</v>
      </c>
      <c r="F7" s="1">
        <f>(1/(1+$J$4))^6</f>
        <v>0.83748425668365434</v>
      </c>
      <c r="G7" s="1">
        <f t="shared" si="2"/>
        <v>1331.8207854164796</v>
      </c>
    </row>
    <row r="8" spans="1:16">
      <c r="A8" s="1">
        <v>36</v>
      </c>
      <c r="B8" s="1">
        <v>1.8E-3</v>
      </c>
      <c r="C8" s="1">
        <f t="shared" si="0"/>
        <v>0.99819999999999998</v>
      </c>
      <c r="D8" s="1">
        <f t="shared" si="3"/>
        <v>0.99232452845236074</v>
      </c>
      <c r="E8" s="1">
        <f t="shared" si="1"/>
        <v>1.7861841512142494E-3</v>
      </c>
      <c r="F8" s="1">
        <f>(1/(1+$J$4))^7</f>
        <v>0.81309151134335378</v>
      </c>
      <c r="G8" s="1">
        <f t="shared" si="2"/>
        <v>1452.3311710483397</v>
      </c>
    </row>
    <row r="9" spans="1:16">
      <c r="A9" s="1">
        <v>37</v>
      </c>
      <c r="B9" s="1">
        <v>2E-3</v>
      </c>
      <c r="C9" s="1">
        <f t="shared" si="0"/>
        <v>0.998</v>
      </c>
      <c r="D9" s="1">
        <f t="shared" si="3"/>
        <v>0.99053834430114651</v>
      </c>
      <c r="E9" s="1">
        <f t="shared" si="1"/>
        <v>1.9810766886022933E-3</v>
      </c>
      <c r="F9" s="1">
        <f>(1/(1+$J$4))^8</f>
        <v>0.78940923431393561</v>
      </c>
      <c r="G9" s="1">
        <f t="shared" si="2"/>
        <v>1563.8802318667233</v>
      </c>
    </row>
    <row r="10" spans="1:16">
      <c r="A10" s="1">
        <v>38</v>
      </c>
      <c r="B10" s="1">
        <v>2.2000000000000001E-3</v>
      </c>
      <c r="C10" s="1">
        <f t="shared" si="0"/>
        <v>0.99780000000000002</v>
      </c>
      <c r="D10" s="1">
        <f t="shared" si="3"/>
        <v>0.98855726761254425</v>
      </c>
      <c r="E10" s="1">
        <f t="shared" si="1"/>
        <v>2.1748259887475977E-3</v>
      </c>
      <c r="F10" s="1">
        <f>(1/(1+$J$4))^9</f>
        <v>0.76641673234362684</v>
      </c>
      <c r="G10" s="1">
        <f t="shared" si="2"/>
        <v>1666.8230277119312</v>
      </c>
    </row>
    <row r="11" spans="1:16">
      <c r="A11" s="1">
        <v>39</v>
      </c>
      <c r="B11" s="1">
        <v>2.3999999999999998E-3</v>
      </c>
      <c r="C11" s="1">
        <f t="shared" si="0"/>
        <v>0.99760000000000004</v>
      </c>
      <c r="D11" s="1">
        <f t="shared" si="3"/>
        <v>0.98638244162379662</v>
      </c>
      <c r="E11" s="1">
        <f t="shared" si="1"/>
        <v>2.3673178598971117E-3</v>
      </c>
      <c r="F11" s="1">
        <f>(1/(1+$J$4))^10</f>
        <v>0.74409391489672505</v>
      </c>
      <c r="G11" s="1">
        <f t="shared" si="2"/>
        <v>1761.5068141757788</v>
      </c>
    </row>
    <row r="12" spans="1:16">
      <c r="A12" s="1">
        <v>40</v>
      </c>
      <c r="B12" s="1">
        <v>2.7000000000000001E-3</v>
      </c>
      <c r="C12" s="1">
        <f t="shared" si="0"/>
        <v>0.99729999999999996</v>
      </c>
      <c r="D12" s="1">
        <f t="shared" si="3"/>
        <v>0.98401512376389955</v>
      </c>
      <c r="E12" s="1">
        <f t="shared" si="1"/>
        <v>2.6568408341625287E-3</v>
      </c>
      <c r="F12" s="1">
        <f>(1/(1+$J$4))^11</f>
        <v>0.72242127659876221</v>
      </c>
      <c r="G12" s="1">
        <f t="shared" si="2"/>
        <v>1919.3583471354141</v>
      </c>
    </row>
    <row r="13" spans="1:16">
      <c r="A13" s="1">
        <v>41</v>
      </c>
      <c r="B13" s="1">
        <v>3.0000000000000001E-3</v>
      </c>
      <c r="C13" s="1">
        <f t="shared" si="0"/>
        <v>0.997</v>
      </c>
      <c r="D13" s="1">
        <f t="shared" si="3"/>
        <v>0.98135828292973704</v>
      </c>
      <c r="E13" s="1">
        <f t="shared" si="1"/>
        <v>2.9440748487892113E-3</v>
      </c>
      <c r="F13" s="1">
        <f>(1/(1+$J$4))^12</f>
        <v>0.70137988019297304</v>
      </c>
      <c r="G13" s="1">
        <f t="shared" si="2"/>
        <v>2064.9148647229222</v>
      </c>
    </row>
    <row r="14" spans="1:16">
      <c r="A14" s="1">
        <v>42</v>
      </c>
      <c r="B14" s="1">
        <v>3.3E-3</v>
      </c>
      <c r="C14" s="1">
        <f t="shared" si="0"/>
        <v>0.99670000000000003</v>
      </c>
      <c r="D14" s="1">
        <f t="shared" si="3"/>
        <v>0.97841420808094781</v>
      </c>
      <c r="E14" s="1">
        <f t="shared" si="1"/>
        <v>3.2287668866671278E-3</v>
      </c>
      <c r="F14" s="1">
        <f>(1/(1+$J$4))^13</f>
        <v>0.6809513399931777</v>
      </c>
      <c r="G14" s="1">
        <f t="shared" si="2"/>
        <v>2198.6331380015813</v>
      </c>
    </row>
    <row r="15" spans="1:16">
      <c r="A15" s="1">
        <v>43</v>
      </c>
      <c r="B15" s="1">
        <v>3.7000000000000002E-3</v>
      </c>
      <c r="C15" s="1">
        <f t="shared" si="0"/>
        <v>0.99629999999999996</v>
      </c>
      <c r="D15" s="1">
        <f t="shared" si="3"/>
        <v>0.97518544119428074</v>
      </c>
      <c r="E15" s="1">
        <f t="shared" si="1"/>
        <v>3.6081861324188391E-3</v>
      </c>
      <c r="F15" s="1">
        <f>(1/(1+$J$4))^14</f>
        <v>0.66111780581861912</v>
      </c>
      <c r="G15" s="1">
        <f t="shared" si="2"/>
        <v>2385.4360988499125</v>
      </c>
    </row>
    <row r="16" spans="1:16">
      <c r="A16" s="1">
        <v>44</v>
      </c>
      <c r="B16" s="1">
        <v>4.1000000000000003E-3</v>
      </c>
      <c r="C16" s="1">
        <f t="shared" si="0"/>
        <v>0.99590000000000001</v>
      </c>
      <c r="D16" s="1">
        <f t="shared" si="3"/>
        <v>0.97157725506186188</v>
      </c>
      <c r="E16" s="1">
        <f t="shared" si="1"/>
        <v>3.9834667457536339E-3</v>
      </c>
      <c r="F16" s="1">
        <f>(1/(1+$J$4))^15</f>
        <v>0.64186194739671765</v>
      </c>
      <c r="G16" s="1">
        <f t="shared" si="2"/>
        <v>2556.8357228194932</v>
      </c>
    </row>
    <row r="17" spans="1:7">
      <c r="A17" s="1">
        <v>45</v>
      </c>
      <c r="B17" s="1">
        <v>4.5999999999999999E-3</v>
      </c>
      <c r="C17" s="1">
        <f t="shared" si="0"/>
        <v>0.99539999999999995</v>
      </c>
      <c r="D17" s="1">
        <f t="shared" si="3"/>
        <v>0.96759378831610821</v>
      </c>
      <c r="E17" s="1">
        <f t="shared" si="1"/>
        <v>4.450931426254098E-3</v>
      </c>
      <c r="F17" s="1">
        <f>(1/(1+$J$4))^16</f>
        <v>0.62316693922011412</v>
      </c>
      <c r="G17" s="1">
        <f t="shared" si="2"/>
        <v>2773.6733135773834</v>
      </c>
    </row>
    <row r="18" spans="1:7">
      <c r="A18" s="1">
        <v>46</v>
      </c>
      <c r="B18" s="1">
        <v>5.1000000000000004E-3</v>
      </c>
      <c r="C18" s="1">
        <f t="shared" si="0"/>
        <v>0.99490000000000001</v>
      </c>
      <c r="D18" s="1">
        <f t="shared" si="3"/>
        <v>0.96314285688985402</v>
      </c>
      <c r="E18" s="1">
        <f t="shared" si="1"/>
        <v>4.9120285701382558E-3</v>
      </c>
      <c r="F18" s="1">
        <f>(1/(1+$J$4))^17</f>
        <v>0.60501644584477099</v>
      </c>
      <c r="G18" s="1">
        <f t="shared" si="2"/>
        <v>2971.8580673930196</v>
      </c>
    </row>
    <row r="19" spans="1:7">
      <c r="A19" s="1">
        <v>47</v>
      </c>
      <c r="B19" s="1">
        <v>5.7000000000000002E-3</v>
      </c>
      <c r="C19" s="1">
        <f t="shared" si="0"/>
        <v>0.99429999999999996</v>
      </c>
      <c r="D19" s="1">
        <f t="shared" si="3"/>
        <v>0.95823082831971573</v>
      </c>
      <c r="E19" s="1">
        <f t="shared" si="1"/>
        <v>5.4619157214223796E-3</v>
      </c>
      <c r="F19" s="1">
        <f>(1/(1+$J$4))^18</f>
        <v>0.58739460761628248</v>
      </c>
      <c r="G19" s="1">
        <f t="shared" si="2"/>
        <v>3208.2998420181029</v>
      </c>
    </row>
    <row r="20" spans="1:7">
      <c r="A20" s="1">
        <v>48</v>
      </c>
      <c r="B20" s="1">
        <v>6.3E-3</v>
      </c>
      <c r="C20" s="1">
        <f t="shared" si="0"/>
        <v>0.99370000000000003</v>
      </c>
      <c r="D20" s="1">
        <f t="shared" si="3"/>
        <v>0.95276891259829333</v>
      </c>
      <c r="E20" s="1">
        <f t="shared" si="1"/>
        <v>6.0024441493692479E-3</v>
      </c>
      <c r="F20" s="1">
        <f>(1/(1+$J$4))^19</f>
        <v>0.57028602681192475</v>
      </c>
      <c r="G20" s="1">
        <f t="shared" si="2"/>
        <v>3423.1100251042717</v>
      </c>
    </row>
    <row r="21" spans="1:7">
      <c r="A21" s="1">
        <v>49</v>
      </c>
      <c r="B21" s="1">
        <v>7.0000000000000001E-3</v>
      </c>
      <c r="C21" s="1">
        <f t="shared" si="0"/>
        <v>0.99299999999999999</v>
      </c>
      <c r="D21" s="1">
        <f t="shared" si="3"/>
        <v>0.94676646844892409</v>
      </c>
      <c r="E21" s="1">
        <f t="shared" si="1"/>
        <v>6.6273652791424692E-3</v>
      </c>
      <c r="F21" s="1">
        <f>(1/(1+$J$4))^20</f>
        <v>0.55367575418633475</v>
      </c>
      <c r="G21" s="1">
        <f t="shared" si="2"/>
        <v>3669.4114691975356</v>
      </c>
    </row>
    <row r="22" spans="1:7">
      <c r="A22" s="1">
        <v>50</v>
      </c>
      <c r="B22" s="1">
        <v>7.7999999999999996E-3</v>
      </c>
      <c r="C22" s="1">
        <f t="shared" si="0"/>
        <v>0.99219999999999997</v>
      </c>
      <c r="D22" s="1">
        <f t="shared" si="3"/>
        <v>0.94013910316978166</v>
      </c>
      <c r="E22" s="1">
        <f t="shared" si="1"/>
        <v>7.3330850047242969E-3</v>
      </c>
      <c r="F22" s="1">
        <f>(1/(1+$J$4))^21</f>
        <v>0.53754927590906287</v>
      </c>
      <c r="G22" s="1">
        <f t="shared" si="2"/>
        <v>3941.8945344691524</v>
      </c>
    </row>
    <row r="23" spans="1:7">
      <c r="A23" s="1">
        <v>51</v>
      </c>
      <c r="B23" s="1">
        <v>8.6999999999999994E-3</v>
      </c>
      <c r="C23" s="1">
        <f t="shared" si="0"/>
        <v>0.99129999999999996</v>
      </c>
      <c r="D23" s="1">
        <f t="shared" si="3"/>
        <v>0.93280601816505737</v>
      </c>
      <c r="E23" s="1">
        <f t="shared" si="1"/>
        <v>8.1154123580359991E-3</v>
      </c>
      <c r="F23" s="1">
        <f>(1/(1+$J$4))^22</f>
        <v>0.52189250088258532</v>
      </c>
      <c r="G23" s="1">
        <f t="shared" si="2"/>
        <v>4235.3728512288462</v>
      </c>
    </row>
    <row r="24" spans="1:7">
      <c r="A24" s="1">
        <v>52</v>
      </c>
      <c r="B24" s="1">
        <v>9.7000000000000003E-3</v>
      </c>
      <c r="C24" s="1">
        <f t="shared" si="0"/>
        <v>0.99029999999999996</v>
      </c>
      <c r="D24" s="1">
        <f t="shared" si="3"/>
        <v>0.92469060580702134</v>
      </c>
      <c r="E24" s="1">
        <f t="shared" si="1"/>
        <v>8.9694988763281067E-3</v>
      </c>
      <c r="F24" s="1">
        <f>(1/(1+$J$4))^23</f>
        <v>0.50669174842969444</v>
      </c>
      <c r="G24" s="1">
        <f t="shared" si="2"/>
        <v>4544.7710681848685</v>
      </c>
    </row>
    <row r="25" spans="1:7">
      <c r="A25" s="1">
        <v>53</v>
      </c>
      <c r="B25" s="1">
        <v>1.0800000000000001E-2</v>
      </c>
      <c r="C25" s="1">
        <f t="shared" si="0"/>
        <v>0.98919999999999997</v>
      </c>
      <c r="D25" s="1">
        <f t="shared" si="3"/>
        <v>0.9157211069306932</v>
      </c>
      <c r="E25" s="1">
        <f t="shared" si="1"/>
        <v>9.8897879548514867E-3</v>
      </c>
      <c r="F25" s="1">
        <f>(1/(1+$J$4))^24</f>
        <v>0.49193373633950915</v>
      </c>
      <c r="G25" s="1">
        <f t="shared" si="2"/>
        <v>4865.120340235565</v>
      </c>
    </row>
    <row r="26" spans="1:7">
      <c r="A26" s="1">
        <v>54</v>
      </c>
      <c r="B26" s="1">
        <v>1.2E-2</v>
      </c>
      <c r="C26" s="1">
        <f t="shared" si="0"/>
        <v>0.98799999999999999</v>
      </c>
      <c r="D26" s="1">
        <f t="shared" si="3"/>
        <v>0.90583131897584168</v>
      </c>
      <c r="E26" s="1">
        <f t="shared" si="1"/>
        <v>1.0869975827710101E-2</v>
      </c>
      <c r="F26" s="1">
        <f>(1/(1+$J$4))^25</f>
        <v>0.47760556926165937</v>
      </c>
      <c r="G26" s="1">
        <f t="shared" si="2"/>
        <v>5191.5609930539595</v>
      </c>
    </row>
    <row r="27" spans="1:7">
      <c r="A27" s="1">
        <v>55</v>
      </c>
      <c r="B27" s="1">
        <v>1.3299999999999999E-2</v>
      </c>
      <c r="C27" s="1">
        <f t="shared" si="0"/>
        <v>0.98670000000000002</v>
      </c>
      <c r="D27" s="1">
        <f t="shared" si="3"/>
        <v>0.89496134314813158</v>
      </c>
      <c r="E27" s="1">
        <f t="shared" si="1"/>
        <v>1.1902985863870149E-2</v>
      </c>
      <c r="F27" s="1">
        <f>(1/(1+$J$4))^26</f>
        <v>0.46369472743850421</v>
      </c>
      <c r="G27" s="1">
        <f t="shared" si="2"/>
        <v>5519.351785851637</v>
      </c>
    </row>
    <row r="28" spans="1:7">
      <c r="A28" s="1">
        <v>56</v>
      </c>
      <c r="B28" s="1">
        <v>1.4800000000000001E-2</v>
      </c>
      <c r="C28" s="1">
        <f t="shared" si="0"/>
        <v>0.98519999999999996</v>
      </c>
      <c r="D28" s="1">
        <f t="shared" si="3"/>
        <v>0.88305835728426141</v>
      </c>
      <c r="E28" s="1">
        <f t="shared" si="1"/>
        <v>1.3069263687807069E-2</v>
      </c>
      <c r="F28" s="1">
        <f>(1/(1+$J$4))^27</f>
        <v>0.45018905576553808</v>
      </c>
      <c r="G28" s="1">
        <f t="shared" si="2"/>
        <v>5883.639479164699</v>
      </c>
    </row>
    <row r="29" spans="1:7">
      <c r="A29" s="1">
        <v>57</v>
      </c>
      <c r="B29" s="1">
        <v>1.6400000000000001E-2</v>
      </c>
      <c r="C29" s="1">
        <f t="shared" si="0"/>
        <v>0.98360000000000003</v>
      </c>
      <c r="D29" s="1">
        <f t="shared" si="3"/>
        <v>0.86998909359645427</v>
      </c>
      <c r="E29" s="1">
        <f t="shared" si="1"/>
        <v>1.426782113498185E-2</v>
      </c>
      <c r="F29" s="1">
        <f>(1/(1+$J$4))^28</f>
        <v>0.43707675317042538</v>
      </c>
      <c r="G29" s="1">
        <f t="shared" si="2"/>
        <v>6236.1329364942403</v>
      </c>
    </row>
    <row r="30" spans="1:7">
      <c r="A30" s="1">
        <v>58</v>
      </c>
      <c r="B30" s="1">
        <v>1.8200000000000001E-2</v>
      </c>
      <c r="C30" s="1">
        <f t="shared" si="0"/>
        <v>0.98180000000000001</v>
      </c>
      <c r="D30" s="1">
        <f t="shared" si="3"/>
        <v>0.85572127246147245</v>
      </c>
      <c r="E30" s="1">
        <f t="shared" si="1"/>
        <v>1.5574127158798799E-2</v>
      </c>
      <c r="F30" s="1">
        <f>(1/(1+$J$4))^29</f>
        <v>0.42434636230138384</v>
      </c>
      <c r="G30" s="1">
        <f t="shared" si="2"/>
        <v>6608.824205855457</v>
      </c>
    </row>
    <row r="31" spans="1:7">
      <c r="A31" s="1">
        <v>59</v>
      </c>
      <c r="B31" s="1">
        <v>2.0199999999999999E-2</v>
      </c>
      <c r="C31" s="1">
        <f t="shared" si="0"/>
        <v>0.9798</v>
      </c>
      <c r="D31" s="1">
        <f t="shared" si="3"/>
        <v>0.84014714530267365</v>
      </c>
      <c r="E31" s="1">
        <f t="shared" si="1"/>
        <v>1.6970972335114007E-2</v>
      </c>
      <c r="F31" s="1">
        <f>(1/(1+$J$4))^30</f>
        <v>0.41198675951590663</v>
      </c>
      <c r="G31" s="1">
        <f t="shared" si="2"/>
        <v>6991.8158981777178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2026-02-27T09:26:09Z</dcterms:created>
  <dcterms:modified xsi:type="dcterms:W3CDTF">2026-03-02T20:34:19Z</dcterms:modified>
  <cp:category/>
  <cp:contentStatus/>
</cp:coreProperties>
</file>